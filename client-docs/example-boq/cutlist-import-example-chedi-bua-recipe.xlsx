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ut List" sheetId="1" state="visible" r:id="rId1"/>
    <sheet name="RateList" sheetId="2" state="hidden" r:id="rId2"/>
    <sheet name="คำอธิบา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.7109375" customWidth="1" min="1" max="1"/>
    <col width="10.7109375" customWidth="1" min="2" max="2"/>
    <col width="52.7109375" customWidth="1" min="3" max="3"/>
    <col width="11.7109375" customWidth="1" min="4" max="5"/>
    <col width="9.7109375" customWidth="1" min="6" max="6"/>
    <col width="70.7109375" customWidth="1" min="7" max="7"/>
  </cols>
  <sheetData>
    <row r="1">
      <c r="A1" s="1" t="inlineStr">
        <is>
          <t>Cut List — เจดีย์บัว (ชิ้นหินของเจดีย์บัว 1 ชิ้น)</t>
        </is>
      </c>
    </row>
    <row r="2">
      <c r="A2" t="inlineStr">
        <is>
          <t>Customer</t>
        </is>
      </c>
      <c r="B2" t="inlineStr">
        <is>
          <t>A-test-customer</t>
        </is>
      </c>
    </row>
    <row r="3" ht="45" customHeight="1">
      <c r="A3" s="2" t="inlineStr">
        <is>
          <t>คำแนะนำ: 1 แถว = 1 ชิ้นหินที่ตัด · ชื่อโซน (คอลัมน์ A) ต้องตรงกับโซนของบรรทัดเจดีย์บัวใน BOQ · เลือก "รายการ" จาก dropdown · กว้าง/สูงเป็นมิลลิเมตร (พื้นที่คำนวณให้) · ไฟล์นี้มีเฉพาะชิ้นหิน — วัสดุสิ้นเปลือง/ค่าแรงมากับ Rate เจดีย์บัว</t>
        </is>
      </c>
    </row>
    <row r="5">
      <c r="A5" s="3" t="inlineStr">
        <is>
          <t>Elevation / Zone</t>
        </is>
      </c>
      <c r="B5" s="3" t="inlineStr">
        <is>
          <t>รหัสชิ้น</t>
        </is>
      </c>
      <c r="C5" s="3" t="inlineStr">
        <is>
          <t>รายการ</t>
        </is>
      </c>
      <c r="D5" s="3" t="inlineStr">
        <is>
          <t>กว้าง (mm)</t>
        </is>
      </c>
      <c r="E5" s="3" t="inlineStr">
        <is>
          <t>สูง (mm)</t>
        </is>
      </c>
      <c r="F5" s="3" t="inlineStr">
        <is>
          <t>ตรม.</t>
        </is>
      </c>
      <c r="G5" s="3" t="inlineStr">
        <is>
          <t>หมายเหตุ</t>
        </is>
      </c>
    </row>
    <row r="6">
      <c r="A6" s="4" t="inlineStr">
        <is>
          <t>เจดีย์บัว</t>
        </is>
      </c>
      <c r="B6" s="4" t="inlineStr">
        <is>
          <t>N-01</t>
        </is>
      </c>
      <c r="C6" s="4" t="inlineStr">
        <is>
          <t>CB-FG-NERO - เทาดำอัฟริกา NERO RUSTENBURG (FG)</t>
        </is>
      </c>
      <c r="D6" s="7" t="n">
        <v>450</v>
      </c>
      <c r="E6" s="7" t="n">
        <v>300</v>
      </c>
      <c r="F6" s="8">
        <f>IF(OR(D6="",E6=""),"",D6*E6/1000000)</f>
        <v/>
      </c>
      <c r="G6" s="4" t="inlineStr">
        <is>
          <t>ฐานล่าง ด้านหน้า · Polished หนา 20 มม. · ขอบบน โค้งมน</t>
        </is>
      </c>
    </row>
    <row r="7">
      <c r="A7" s="4" t="inlineStr">
        <is>
          <t>เจดีย์บัว</t>
        </is>
      </c>
      <c r="B7" s="4" t="inlineStr">
        <is>
          <t>N-02</t>
        </is>
      </c>
      <c r="C7" s="4" t="inlineStr">
        <is>
          <t>CB-FG-NERO - เทาดำอัฟริกา NERO RUSTENBURG (FG)</t>
        </is>
      </c>
      <c r="D7" s="7" t="n">
        <v>450</v>
      </c>
      <c r="E7" s="7" t="n">
        <v>300</v>
      </c>
      <c r="F7" s="8">
        <f>IF(OR(D7="",E7=""),"",D7*E7/1000000)</f>
        <v/>
      </c>
      <c r="G7" s="4" t="inlineStr">
        <is>
          <t>ฐานล่าง ด้านหลัง · Polished หนา 20 มม. · ขอบบน โค้งมน</t>
        </is>
      </c>
    </row>
    <row r="8">
      <c r="A8" s="4" t="inlineStr">
        <is>
          <t>เจดีย์บัว</t>
        </is>
      </c>
      <c r="B8" s="4" t="inlineStr">
        <is>
          <t>N-03</t>
        </is>
      </c>
      <c r="C8" s="4" t="inlineStr">
        <is>
          <t>CB-FG-NERO - เทาดำอัฟริกา NERO RUSTENBURG (FG)</t>
        </is>
      </c>
      <c r="D8" s="7" t="n">
        <v>300</v>
      </c>
      <c r="E8" s="7" t="n">
        <v>150</v>
      </c>
      <c r="F8" s="8">
        <f>IF(OR(D8="",E8=""),"",D8*E8/1000000)</f>
        <v/>
      </c>
      <c r="G8" s="4" t="inlineStr">
        <is>
          <t>ฐานล่าง ด้านข้างซ้าย · Polished หนา 20 มม.</t>
        </is>
      </c>
    </row>
    <row r="9">
      <c r="A9" s="4" t="inlineStr">
        <is>
          <t>เจดีย์บัว</t>
        </is>
      </c>
      <c r="B9" s="4" t="inlineStr">
        <is>
          <t>N-04</t>
        </is>
      </c>
      <c r="C9" s="4" t="inlineStr">
        <is>
          <t>CB-FG-NERO - เทาดำอัฟริกา NERO RUSTENBURG (FG)</t>
        </is>
      </c>
      <c r="D9" s="7" t="n">
        <v>300</v>
      </c>
      <c r="E9" s="7" t="n">
        <v>150</v>
      </c>
      <c r="F9" s="8">
        <f>IF(OR(D9="",E9=""),"",D9*E9/1000000)</f>
        <v/>
      </c>
      <c r="G9" s="4" t="inlineStr">
        <is>
          <t>ฐานล่าง ด้านข้างขวา · Polished หนา 20 มม.</t>
        </is>
      </c>
    </row>
    <row r="10">
      <c r="A10" s="4" t="inlineStr">
        <is>
          <t>เจดีย์บัว</t>
        </is>
      </c>
      <c r="B10" s="4" t="inlineStr">
        <is>
          <t>G-01</t>
        </is>
      </c>
      <c r="C10" s="4" t="inlineStr">
        <is>
          <t>CB-FG-GP - GP Block Marble (FG)</t>
        </is>
      </c>
      <c r="D10" s="7" t="n">
        <v>200</v>
      </c>
      <c r="E10" s="7" t="n">
        <v>450</v>
      </c>
      <c r="F10" s="8">
        <f>IF(OR(D10="",E10=""),"",D10*E10/1000000)</f>
        <v/>
      </c>
      <c r="G10" s="4" t="inlineStr">
        <is>
          <t>ตัวเรือน กลีบบัว ด้านหน้า · Polished หนา 20 มม.</t>
        </is>
      </c>
    </row>
    <row r="11">
      <c r="A11" s="4" t="inlineStr">
        <is>
          <t>เจดีย์บัว</t>
        </is>
      </c>
      <c r="B11" s="4" t="inlineStr">
        <is>
          <t>G-02</t>
        </is>
      </c>
      <c r="C11" s="4" t="inlineStr">
        <is>
          <t>CB-FG-GP - GP Block Marble (FG)</t>
        </is>
      </c>
      <c r="D11" s="7" t="n">
        <v>200</v>
      </c>
      <c r="E11" s="7" t="n">
        <v>450</v>
      </c>
      <c r="F11" s="8">
        <f>IF(OR(D11="",E11=""),"",D11*E11/1000000)</f>
        <v/>
      </c>
      <c r="G11" s="4" t="inlineStr">
        <is>
          <t>ตัวเรือน กลีบบัว ด้านขวา · Polished หนา 20 มม.</t>
        </is>
      </c>
    </row>
    <row r="12">
      <c r="A12" s="4" t="inlineStr">
        <is>
          <t>เจดีย์บัว</t>
        </is>
      </c>
      <c r="B12" s="4" t="inlineStr">
        <is>
          <t>G-03</t>
        </is>
      </c>
      <c r="C12" s="4" t="inlineStr">
        <is>
          <t>CB-FG-GP - GP Block Marble (FG)</t>
        </is>
      </c>
      <c r="D12" s="7" t="n">
        <v>200</v>
      </c>
      <c r="E12" s="7" t="n">
        <v>450</v>
      </c>
      <c r="F12" s="8">
        <f>IF(OR(D12="",E12=""),"",D12*E12/1000000)</f>
        <v/>
      </c>
      <c r="G12" s="4" t="inlineStr">
        <is>
          <t>ตัวเรือน กลีบบัว ด้านหลัง · Polished หนา 20 มม.</t>
        </is>
      </c>
    </row>
    <row r="13">
      <c r="A13" s="4" t="inlineStr">
        <is>
          <t>เจดีย์บัว</t>
        </is>
      </c>
      <c r="B13" s="4" t="inlineStr">
        <is>
          <t>G-04</t>
        </is>
      </c>
      <c r="C13" s="4" t="inlineStr">
        <is>
          <t>CB-FG-GP - GP Block Marble (FG)</t>
        </is>
      </c>
      <c r="D13" s="7" t="n">
        <v>200</v>
      </c>
      <c r="E13" s="7" t="n">
        <v>450</v>
      </c>
      <c r="F13" s="8">
        <f>IF(OR(D13="",E13=""),"",D13*E13/1000000)</f>
        <v/>
      </c>
      <c r="G13" s="4" t="inlineStr">
        <is>
          <t>ตัวเรือน กลีบบัว ด้านซ้าย · Polished หนา 20 มม.</t>
        </is>
      </c>
    </row>
    <row r="14">
      <c r="A14" s="4" t="inlineStr">
        <is>
          <t>เจดีย์บัว</t>
        </is>
      </c>
      <c r="B14" s="4" t="inlineStr">
        <is>
          <t>G-05</t>
        </is>
      </c>
      <c r="C14" s="4" t="inlineStr">
        <is>
          <t>CB-FG-GP - GP Block Marble (FG)</t>
        </is>
      </c>
      <c r="D14" s="7" t="n">
        <v>300</v>
      </c>
      <c r="E14" s="7" t="n">
        <v>300</v>
      </c>
      <c r="F14" s="8">
        <f>IF(OR(D14="",E14=""),"",D14*E14/1000000)</f>
        <v/>
      </c>
      <c r="G14" s="4" t="inlineStr">
        <is>
          <t>ยอดบัว แผ่นประกบบน · Polished หนา 20 มม.</t>
        </is>
      </c>
    </row>
    <row r="15">
      <c r="A15" s="4" t="inlineStr">
        <is>
          <t>เจดีย์บัว</t>
        </is>
      </c>
      <c r="B15" s="4" t="inlineStr">
        <is>
          <t>G-06</t>
        </is>
      </c>
      <c r="C15" s="4" t="inlineStr">
        <is>
          <t>CB-FG-GP - GP Block Marble (FG)</t>
        </is>
      </c>
      <c r="D15" s="7" t="n">
        <v>300</v>
      </c>
      <c r="E15" s="7" t="n">
        <v>300</v>
      </c>
      <c r="F15" s="8">
        <f>IF(OR(D15="",E15=""),"",D15*E15/1000000)</f>
        <v/>
      </c>
      <c r="G15" s="4" t="inlineStr">
        <is>
          <t>ยอดบัว แผ่นประกบล่าง · Polished หนา 20 มม.</t>
        </is>
      </c>
    </row>
    <row r="16">
      <c r="A16" s="4" t="n"/>
      <c r="B16" s="4" t="n"/>
      <c r="C16" s="4" t="n"/>
      <c r="D16" s="7" t="n"/>
      <c r="E16" s="7" t="n"/>
      <c r="F16" s="8" t="n"/>
      <c r="G16" s="4" t="n"/>
    </row>
    <row r="17">
      <c r="A17" s="4" t="n"/>
      <c r="B17" s="4" t="n"/>
      <c r="C17" s="4" t="n"/>
      <c r="D17" s="7" t="n"/>
      <c r="E17" s="7" t="n"/>
      <c r="F17" s="8" t="n"/>
      <c r="G17" s="4" t="n"/>
    </row>
    <row r="18">
      <c r="A18" s="4" t="n"/>
      <c r="B18" s="4" t="n"/>
      <c r="C18" s="4" t="n"/>
      <c r="D18" s="7" t="n"/>
      <c r="E18" s="7" t="n"/>
      <c r="F18" s="8" t="n"/>
      <c r="G18" s="4" t="n"/>
    </row>
    <row r="19">
      <c r="A19" s="4" t="n"/>
      <c r="B19" s="4" t="n"/>
      <c r="C19" s="4" t="n"/>
      <c r="D19" s="7" t="n"/>
      <c r="E19" s="7" t="n"/>
      <c r="F19" s="8" t="n"/>
      <c r="G19" s="4" t="n"/>
    </row>
    <row r="20">
      <c r="A20" s="4" t="n"/>
      <c r="B20" s="4" t="n"/>
      <c r="C20" s="4" t="n"/>
      <c r="D20" s="7" t="n"/>
      <c r="E20" s="7" t="n"/>
      <c r="F20" s="8" t="n"/>
      <c r="G20" s="4" t="n"/>
    </row>
    <row r="21">
      <c r="A21" s="4" t="n"/>
      <c r="B21" s="4" t="n"/>
      <c r="C21" s="4" t="n"/>
      <c r="D21" s="7" t="n"/>
      <c r="E21" s="7" t="n"/>
      <c r="F21" s="8" t="n"/>
      <c r="G21" s="4" t="n"/>
    </row>
    <row r="22">
      <c r="A22" s="4" t="n"/>
      <c r="B22" s="4" t="n"/>
      <c r="C22" s="4" t="n"/>
      <c r="D22" s="7" t="n"/>
      <c r="E22" s="7" t="n"/>
      <c r="F22" s="8" t="n"/>
      <c r="G22" s="4" t="n"/>
    </row>
    <row r="23">
      <c r="A23" s="4" t="n"/>
      <c r="B23" s="4" t="n"/>
      <c r="C23" s="4" t="n"/>
      <c r="D23" s="7" t="n"/>
      <c r="E23" s="7" t="n"/>
      <c r="F23" s="8" t="n"/>
      <c r="G23" s="4" t="n"/>
    </row>
    <row r="24">
      <c r="A24" s="4" t="n"/>
      <c r="B24" s="4" t="n"/>
      <c r="C24" s="4" t="n"/>
      <c r="D24" s="7" t="n"/>
      <c r="E24" s="7" t="n"/>
      <c r="F24" s="8" t="n"/>
      <c r="G24" s="4" t="n"/>
    </row>
    <row r="25">
      <c r="A25" s="4" t="n"/>
      <c r="B25" s="4" t="n"/>
      <c r="C25" s="4" t="n"/>
      <c r="D25" s="7" t="n"/>
      <c r="E25" s="7" t="n"/>
      <c r="F25" s="8" t="n"/>
      <c r="G25" s="4" t="n"/>
    </row>
    <row r="26">
      <c r="A26" s="4" t="n"/>
      <c r="B26" s="4" t="n"/>
      <c r="C26" s="4" t="n"/>
      <c r="D26" s="7" t="n"/>
      <c r="E26" s="7" t="n"/>
      <c r="F26" s="8" t="n"/>
      <c r="G26" s="4" t="n"/>
    </row>
    <row r="27">
      <c r="A27" s="4" t="n"/>
      <c r="B27" s="4" t="n"/>
      <c r="C27" s="4" t="n"/>
      <c r="D27" s="7" t="n"/>
      <c r="E27" s="7" t="n"/>
      <c r="F27" s="8" t="n"/>
      <c r="G27" s="4" t="n"/>
    </row>
    <row r="28">
      <c r="A28" s="4" t="n"/>
      <c r="B28" s="4" t="n"/>
      <c r="C28" s="4" t="n"/>
      <c r="D28" s="7" t="n"/>
      <c r="E28" s="7" t="n"/>
      <c r="F28" s="8" t="n"/>
      <c r="G28" s="4" t="n"/>
    </row>
    <row r="29">
      <c r="A29" s="4" t="n"/>
      <c r="B29" s="4" t="n"/>
      <c r="C29" s="4" t="n"/>
      <c r="D29" s="7" t="n"/>
      <c r="E29" s="7" t="n"/>
      <c r="F29" s="8" t="n"/>
      <c r="G29" s="4" t="n"/>
    </row>
  </sheetData>
  <mergeCells count="1">
    <mergeCell ref="A3:G3"/>
  </mergeCells>
  <dataValidations count="1">
    <dataValidation sqref="C6:C35" showDropDown="0" showInputMessage="0" showErrorMessage="0" allowBlank="1" type="list">
      <formula1>RateList!$A$1:$A$2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CB-FG-NERO - เทาดำอัฟริกา NERO RUSTENBURG (FG)</t>
        </is>
      </c>
    </row>
    <row r="2">
      <c r="A2" t="inlineStr">
        <is>
          <t>CB-FG-GP - GP Block Marble (FG)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60.7109375" customWidth="1" min="1" max="1"/>
  </cols>
  <sheetData>
    <row r="1">
      <c r="A1" s="1" t="inlineStr">
        <is>
          <t>Cut List ตัวอย่าง — เจดีย์บัว (สร้างเมื่อ 25 ต.ค. 2569)</t>
        </is>
      </c>
    </row>
    <row r="2">
      <c r="A2" t="inlineStr">
        <is>
          <t>ใช้กับ BOQ ที่มีโซน "เจดีย์บัว" (บรรทัด Rate "เจดีย์บัว - standard" หน่วย Units) — ชื่อโซนในไฟล์ต้องตรงกับใน BOQ ทุกตัวอักษร</t>
        </is>
      </c>
    </row>
    <row r="3">
      <c r="A3" t="inlineStr">
        <is>
          <t>นำเข้าที่ BOQ → แท็บ ③ Cut List → "นำเข้า Cut List" (ไม่ต้องใส่ Rate ล่วงหน้า ระบบจับคู่ CB-FG-NERO / CB-FG-GP จาก Rate Library เอง)</t>
        </is>
      </c>
    </row>
    <row r="4">
      <c r="A4" t="inlineStr">
        <is>
          <t>ระบบสร้าง "บรรทัดสูตร" ในโซนเจดีย์บัว (ไม่ขึ้นใบเสนอราคา ไม่นับยอด) เพื่อประเมินต้นทุนและสร้างใบสั่งตัด</t>
        </is>
      </c>
    </row>
    <row r="5">
      <c r="A5" t="inlineStr">
        <is>
          <t>หิน: NERO RUSTENBURG 4 ชิ้น รวม 0.36 ตร.ม. (ฐาน) · GP Block Marble 6 ชิ้น รวม 0.54 ตร.ม. (ตัวเรือน 4 + ยอด 2) รวม 0.90 ตร.ม.</t>
        </is>
      </c>
    </row>
    <row r="6">
      <c r="A6" t="inlineStr">
        <is>
          <t>ราคาขายเจดีย์บัว 50,000 บาท/ชิ้น (ราคาคงที่ที่ Rate) · ต้นทุนวัสดุสิ้นเปลือง 675 + ค่าแรง 2,477 บาท/ชิ้น ตั้งไว้ที่ Rate (ค่าประมาณ ไม่รวมในราคาขาย)</t>
        </is>
      </c>
    </row>
    <row r="7">
      <c r="A7" t="inlineStr">
        <is>
          <t>ขนาดชิ้นเป็นตัวเลขตัวอย่าง ปรับตามแบบจริง</t>
        </is>
      </c>
    </row>
    <row r="8"/>
    <row r="9"/>
    <row r="10"/>
    <row r="11"/>
    <row r="12"/>
    <row r="13"/>
    <row r="14"/>
    <row r="15"/>
    <row r="16">
      <c r="A16" s="1" t="n"/>
    </row>
    <row r="17"/>
    <row r="18"/>
    <row r="19"/>
    <row r="20">
      <c r="A20" s="1" t="n"/>
    </row>
    <row r="21"/>
    <row r="22">
      <c r="A2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2026-10-11T13:53:04Z</dcterms:created>
  <dcterms:modified xsi:type="dcterms:W3CDTF">2026-10-25T14:57:00Z</dcterms:modified>
</cp:coreProperties>
</file>