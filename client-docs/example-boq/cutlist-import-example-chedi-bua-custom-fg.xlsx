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 List" sheetId="1" r:id="rId1"/>
    <sheet name="RateList" sheetId="2" state="hidden" r:id="rId2"/>
    <sheet name="คำอธิบาย" sheetId="3" r:id="rId3"/>
  </sheets>
  <calcPr calcId="124519" fullCalcOnLoad="1"/>
</workbook>
</file>

<file path=xl/sharedStrings.xml><?xml version="1.0" encoding="utf-8"?>
<sst xmlns="http://schemas.openxmlformats.org/spreadsheetml/2006/main" count="143" uniqueCount="102">
  <si>
    <t>Cut List — เจดีย์บัว (ปริมาณต่อ 1 ชิ้นสำเร็จรูป)</t>
  </si>
  <si>
    <t>Customer</t>
  </si>
  <si>
    <t>A-test-customer</t>
  </si>
  <si>
    <t>คำแนะนำ: 1 แถว = 1 ชิ้นจริงที่ตัด — เลือก "รายการ" จาก dropdown เท่านั้น, ใส่กว้าง/สูงเป็นมิลลิเมตร (พื้นที่คำนวณให้อัตโนมัติ) · แถววัสดุสิ้นเปลืองและค่าแรงไม่มีขนาด ให้กรอกพื้นที่ในช่องสุดท้ายก่อนหมายเหตุโดยตรง</t>
  </si>
  <si>
    <t>Elevation / Zone</t>
  </si>
  <si>
    <t>รหัสชิ้น</t>
  </si>
  <si>
    <t>รายการ</t>
  </si>
  <si>
    <t>กว้าง (mm)</t>
  </si>
  <si>
    <t>สูง (mm)</t>
  </si>
  <si>
    <t>ตรม.</t>
  </si>
  <si>
    <t>หมายเหตุ</t>
  </si>
  <si>
    <t>เจดีย์บัว ชุดที่ 1 — หิน</t>
  </si>
  <si>
    <t>N-01</t>
  </si>
  <si>
    <t>CB-STONE-NERO - เทาดำอัฟริกา NERO RUSTENBURG (Slab) ต้นทุนจริง</t>
  </si>
  <si>
    <t>ฐานล่าง ด้านหน้า · Polished หนา 20 มม. · ขอบบน โค้งมน</t>
  </si>
  <si>
    <t>N-02</t>
  </si>
  <si>
    <t>ฐานล่าง ด้านหลัง · Polished หนา 20 มม. · ขอบบน โค้งมน</t>
  </si>
  <si>
    <t>N-03</t>
  </si>
  <si>
    <t>ฐานล่าง ด้านข้างซ้าย · Polished หนา 20 มม.</t>
  </si>
  <si>
    <t>N-04</t>
  </si>
  <si>
    <t>ฐานล่าง ด้านข้างขวา · Polished หนา 20 มม.</t>
  </si>
  <si>
    <t>G-01</t>
  </si>
  <si>
    <t>CB-STONE-GP - GP Block Marble (Slab) ต้นทุนจริง</t>
  </si>
  <si>
    <t>ตัวเรือน กลีบบัว ด้านหน้า · Polished หนา 20 มม.</t>
  </si>
  <si>
    <t>G-02</t>
  </si>
  <si>
    <t>ตัวเรือน กลีบบัว ด้านขวา · Polished หนา 20 มม.</t>
  </si>
  <si>
    <t>G-03</t>
  </si>
  <si>
    <t>ตัวเรือน กลีบบัว ด้านหลัง · Polished หนา 20 มม.</t>
  </si>
  <si>
    <t>G-04</t>
  </si>
  <si>
    <t>ตัวเรือน กลีบบัว ด้านซ้าย · Polished หนา 20 มม.</t>
  </si>
  <si>
    <t>G-05</t>
  </si>
  <si>
    <t>ยอดบัว แผ่นประกบบน · Polished หนา 20 มม.</t>
  </si>
  <si>
    <t>G-06</t>
  </si>
  <si>
    <t>ยอดบัว แผ่นประกบล่าง · Polished หนา 20 มม.</t>
  </si>
  <si>
    <t>เจดีย์บัว ชุดที่ 1 — วัสดุสิ้นเปลือง</t>
  </si>
  <si>
    <t>C-01</t>
  </si>
  <si>
    <t>CON-ADH - กาว/epoxy ติดตั้งหิน (ราคาตัวอย่าง)</t>
  </si>
  <si>
    <t>กาว epoxy ประกอบชิ้นหิน — คิดตามพื้นที่ผิวประกบ</t>
  </si>
  <si>
    <t>C-02</t>
  </si>
  <si>
    <t>CON-SEAL - ซีลแลนท์ (ราคาตัวอย่าง)</t>
  </si>
  <si>
    <t>ซีลแลนท์อุดรอยต่อ — คิดตามพื้นที่ผิวหินรวม</t>
  </si>
  <si>
    <t>C-03</t>
  </si>
  <si>
    <t>CON-PAD - ใบตัด/หัวขัด (ราคาตัวอย่าง)</t>
  </si>
  <si>
    <t>ใบตัด/หัวขัดที่สึกหรอ — คิดตามพื้นที่ผิวหินรวม (ไม่มีสินค้าผูก = นับเฉพาะต้นทุน)</t>
  </si>
  <si>
    <t>C-04</t>
  </si>
  <si>
    <t>CON-POLISH - น้ำยาขัดเงา/ผงขัด (ราคาตัวอย่าง)</t>
  </si>
  <si>
    <t>น้ำยาขัดเงา/ผงขัด — คิดตามพื้นที่ผิวหินรวม (ไม่มีสินค้าผูก = นับเฉพาะต้นทุน)</t>
  </si>
  <si>
    <t>C-05</t>
  </si>
  <si>
    <t>CON-PACK - ไม้ลัง/โฟมกันกระแทก (ราคาตัวอย่าง)</t>
  </si>
  <si>
    <t>ไม้ลัง/โฟมกันกระแทก 1 ชุดต่อชิ้น (หน่วย Units — ใส่จำนวนชุดในช่องสุดท้ายก่อนหมายเหตุ)</t>
  </si>
  <si>
    <t>เจดีย์บัว ชุดที่ 1 — ค่าแรง / งานแปรรูป</t>
  </si>
  <si>
    <t>L-01</t>
  </si>
  <si>
    <t>LAB-SETUP - ค่าตั้งเครื่อง / จัดชุดตัดและประกอบ Setup (ราคาตัวอย่าง)</t>
  </si>
  <si>
    <t>ค่าตั้งเครื่อง/จัดชุดตัดและประกอบ 1 งานต่อชิ้น (หน่วย Units)</t>
  </si>
  <si>
    <t>L-02</t>
  </si>
  <si>
    <t>LAB-FAC-CUT - ตัดหินตามแบบในโรงงาน (ราคาตัวอย่าง)</t>
  </si>
  <si>
    <t>ตัดหินตามแบบในโรงงาน (เครื่องตัดบริดจ์) — คิดตามพื้นที่ชิ้นที่ตัด</t>
  </si>
  <si>
    <t>L-03</t>
  </si>
  <si>
    <t>LAB-FAC-ASM - ประกอบชิ้นหินเป็นชิ้นงานสำเร็จรูป (ราคาตัวอย่าง)</t>
  </si>
  <si>
    <t>ประกอบชิ้นหินเป็นเจดีย์บัว</t>
  </si>
  <si>
    <t>L-04</t>
  </si>
  <si>
    <t>LAB-FAC-POLISH - ขัดเก็บงานในโรงงาน (ราคาตัวอย่าง)</t>
  </si>
  <si>
    <t>ขัดเก็บงานหลังประกอบ</t>
  </si>
  <si>
    <t>L-05</t>
  </si>
  <si>
    <t>LAB-CRYSTAL - ขัดเคลือบเงา (Crystallization)</t>
  </si>
  <si>
    <t>ขัดเคลือบเงา</t>
  </si>
  <si>
    <t>L-06</t>
  </si>
  <si>
    <t>LAB-SEAL - ทาน้ำยากันซึม/เคลือบผิวหิน</t>
  </si>
  <si>
    <t>ทาน้ำยากันซึม/เคลือบผิวหิน</t>
  </si>
  <si>
    <t>L-07</t>
  </si>
  <si>
    <t>LAB-PACK - บรรจุ/ผูกยึดชิ้นงานเพื่อขนส่ง (ราคาตัวอย่าง)</t>
  </si>
  <si>
    <t>บรรจุ/ผูกยึดชิ้นงานเพื่อขนส่ง 1 งานต่อชิ้น (หน่วย Units)</t>
  </si>
  <si>
    <t>Cut List ตัวอย่าง — เจดีย์บัว 1 ชิ้น (สร้างเมื่อ 11 ต.ค. 2569)</t>
  </si>
  <si>
    <t>ไฟล์นี้ใช้รูปแบบเดียวกับ "สร้างเทมเพลต Cut List" ของ BOQ (ชีต "Cut List" + ชีตซ่อน RateList) นำเข้าได้ที่ BOQ (สถานะ Draft) → ปุ่ม "นำเข้า Cut List"</t>
  </si>
  <si>
    <t>ตัวนำเข้าอ่านเฉพาะชีตชื่อ "Cut List" ชีตนี้ (คำอธิบาย) ไม่ถูกนำเข้า</t>
  </si>
  <si>
    <t>ก่อนนำเข้า: ที่หน้า BOQ ใส่ Rate ทั้ง 14 รายการด้านล่างในช่อง Cut List Rates (ถ้าไม่ใส่ ระบบจะไม่จับคู่ Rate ให้ ต้องเลือกในหน้า Preview เอง)</t>
  </si>
  <si>
    <t>ปริมาณทั้งหมดเป็น "ต่อ 1 ชิ้นสำเร็จรูป" (ตามที่ "โหลด BOQ" ในใบขายต้องการ) ใบขาย 3 ชิ้น ระบบคูณให้เอง</t>
  </si>
  <si>
    <t>หิน: NERO RUSTENBURG 4 ชิ้น รวม 0.36 ม² (ฐาน) · GP Block Marble 6 ชิ้น รวม 0.54 ม² (ตัวเรือน 4 + ยอด 2) รวมพื้นที่หิน 0.90 ม² — พื้นที่รวมต่อชนิดเท่ากับ BOQ0023 ทุกประการ เทียบต้นทุนได้</t>
  </si>
  <si>
    <t>วัสดุสิ้นเปลือง: กาว epoxy / ซีลแลนท์ / ใบตัดหัวขัด / น้ำยาขัดเงา อย่างละ 0.90 ม² · ไม้ลัง/โฟมกันกระแทก 1 ชุด (กาวและซีลแลนท์มีสินค้าผูก ระบบตัดสต็อกที่ Stone Production · ที่เหลือไม่มีสินค้าผูก นับเฉพาะต้นทุน)</t>
  </si>
  <si>
    <t>ค่าแรง/งานแปรรูป (ลำดับโรงงาน): ตั้งเครื่อง 1 งาน → ตัดหิน 0.90 → ประกอบ 0.90 → ขัดเก็บงาน 0.90 → ขัดเคลือบเงา 0.90 → ทาน้ำยากันซึม 0.90 → บรรจุ 1 งาน (ไม่มีสินค้าผูก = แถวต้นทุนอย่างเดียว ไม่สร้างส่วนประกอบใน MO)</t>
  </si>
  <si>
    <t>แถวหน่วย Units (ตั้งเครื่อง, บรรจุ, ไม้ลัง) ใส่จำนวนในช่องพื้นที่ (คอลัมน์ F) ตรงๆ เพราะไม่มีกว้าง/สูง · ราคาของ Rate ใหม่ทั้ง 7 รายการ (LAB-SETUP, LAB-FAC-CUT, LAB-FAC-ASM, LAB-FAC-POLISH, LAB-PACK, CON-PACK, CON-POLISH) เป็นราคาตัวอย่างสำหรับทดสอบ ต้องปรับเป็นราคาจริงของโรงงาน</t>
  </si>
  <si>
    <t>หมายเหตุ: เมื่อนำเข้าด้วยปุ่ม "นำเข้า Cut List" ระบบตั้ง "เผื่อเสีย" ของบรรทัดหินเป็น 0% (ยืนยันจากการนำเข้าจริงบน eg-tst เมื่อ 11 ต.ค. 2569 ต้นทุนรวมที่ได้ 3,906.92 บาทต่อชิ้น) ถ้าตั้งเผื่อเสียหิน 10% ที่บรรทัดหินเอง จะเป็น 3,982.41 บาท</t>
  </si>
  <si>
    <t>ต้นทุนโดยประมาณต่อ 1 ชิ้น (ราคา Rate ในคลัง ตอนสร้างไฟล์):</t>
  </si>
  <si>
    <t xml:space="preserve">  หิน (ถ้าเผื่อเสีย 10%)   830.41 บาท   [NERO 637.96 + GP 192.46]</t>
  </si>
  <si>
    <t xml:space="preserve">  วัสดุสิ้นเปลือง           675.00 บาท   [กาว 108.00 + ซีลแลนท์ 22.50 + ใบตัด/หัวขัด 54.00 + น้ำยาขัด 40.50 + ไม้ลัง 450.00]</t>
  </si>
  <si>
    <t xml:space="preserve">  ค่าแรง / งานแปรรูป        2,477.00 บาท   [ตั้งเครื่อง 1,200.00 + ตัด 225.00 + ประกอบ 360.00 + ขัดเก็บ 126.00 + เคลือบเงา 162.00 + กันซึม 54.00 + บรรจุ 350.00]</t>
  </si>
  <si>
    <t xml:space="preserve">  รวม                       3,982.41 บาท   (ราคาขาย เจดีย์บัว - standard = 50,000 บาท/ชิ้น ไม่ใส่เป็นแถวในไฟล์นี้)</t>
  </si>
  <si>
    <t>Rate ที่ต้องมีใน BOQ:</t>
  </si>
  <si>
    <t xml:space="preserve">  CB-STONE-NERO - เทาดำอัฟริกา NERO RUSTENBURG (Slab) ต้นทุนจริง</t>
  </si>
  <si>
    <t xml:space="preserve">  CB-STONE-GP - GP Block Marble (Slab) ต้นทุนจริง</t>
  </si>
  <si>
    <t xml:space="preserve">  CON-ADH - กาว/epoxy ติดตั้งหิน (ราคาตัวอย่าง)</t>
  </si>
  <si>
    <t xml:space="preserve">  CON-SEAL - ซีลแลนท์ (ราคาตัวอย่าง)</t>
  </si>
  <si>
    <t xml:space="preserve">  CON-PAD - ใบตัด/หัวขัด (ราคาตัวอย่าง)</t>
  </si>
  <si>
    <t xml:space="preserve">  CON-POLISH - น้ำยาขัดเงา/ผงขัด (ราคาตัวอย่าง)</t>
  </si>
  <si>
    <t xml:space="preserve">  CON-PACK - ไม้ลัง/โฟมกันกระแทก (ราคาตัวอย่าง)</t>
  </si>
  <si>
    <t xml:space="preserve">  LAB-SETUP - ค่าตั้งเครื่อง / จัดชุดตัดและประกอบ Setup (ราคาตัวอย่าง)</t>
  </si>
  <si>
    <t xml:space="preserve">  LAB-FAC-CUT - ตัดหินตามแบบในโรงงาน (ราคาตัวอย่าง)</t>
  </si>
  <si>
    <t xml:space="preserve">  LAB-FAC-ASM - ประกอบชิ้นหินเป็นชิ้นงานสำเร็จรูป (ราคาตัวอย่าง)</t>
  </si>
  <si>
    <t xml:space="preserve">  LAB-FAC-POLISH - ขัดเก็บงานในโรงงาน (ราคาตัวอย่าง)</t>
  </si>
  <si>
    <t xml:space="preserve">  LAB-CRYSTAL - ขัดเคลือบเงา (Crystallization)</t>
  </si>
  <si>
    <t xml:space="preserve">  LAB-SEAL - ทาน้ำยากันซึม/เคลือบผิวหิน</t>
  </si>
  <si>
    <t xml:space="preserve">  LAB-PACK - บรรจุ/ผูกยึดชิ้นงานเพื่อขนส่ง (ราคาตัวอย่าง)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</si>
</sst>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34.7109375" customWidth="1"/>
    <col min="2" max="2" width="10.7109375" customWidth="1"/>
    <col min="3" max="3" width="52.7109375" customWidth="1"/>
    <col min="4" max="5" width="11.7109375" customWidth="1"/>
    <col min="6" max="6" width="9.7109375" customWidth="1"/>
    <col min="7" max="7" width="70.7109375" customWidth="1"/>
  </cols>
  <sheetData>
    <row r="1" spans="1:7">
      <c r="A1" s="1" t="s">
        <v>0</v>
      </c>
    </row>
    <row r="2" spans="1:7">
      <c r="A2" t="s">
        <v>1</v>
      </c>
      <c r="B2" t="s">
        <v>2</v>
      </c>
    </row>
    <row r="3" spans="1:7" ht="45" customHeight="1">
      <c r="A3" s="2" t="s">
        <v>3</v>
      </c>
      <c r="B3" s="2"/>
      <c r="C3" s="2"/>
      <c r="D3" s="2"/>
      <c r="E3" s="2"/>
      <c r="F3" s="2"/>
      <c r="G3" s="2"/>
    </row>
    <row r="5" spans="1:7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spans="1:7">
      <c r="A6" s="4" t="s">
        <v>11</v>
      </c>
      <c r="B6" s="4" t="s">
        <v>12</v>
      </c>
      <c r="C6" s="4" t="s">
        <v>13</v>
      </c>
      <c r="D6" s="5">
        <v>450</v>
      </c>
      <c r="E6" s="5">
        <v>300</v>
      </c>
      <c r="F6" s="6">
        <f>IF(OR(D6="",E6=""),"",D6*E6/1000000)</f>
        <v>0.135</v>
      </c>
      <c r="G6" s="4" t="s">
        <v>14</v>
      </c>
    </row>
    <row r="7" spans="1:7">
      <c r="A7" s="4" t="s">
        <v>11</v>
      </c>
      <c r="B7" s="4" t="s">
        <v>15</v>
      </c>
      <c r="C7" s="4" t="s">
        <v>13</v>
      </c>
      <c r="D7" s="5">
        <v>450</v>
      </c>
      <c r="E7" s="5">
        <v>300</v>
      </c>
      <c r="F7" s="6">
        <f>IF(OR(D7="",E7=""),"",D7*E7/1000000)</f>
        <v>0.135</v>
      </c>
      <c r="G7" s="4" t="s">
        <v>16</v>
      </c>
    </row>
    <row r="8" spans="1:7">
      <c r="A8" s="4" t="s">
        <v>11</v>
      </c>
      <c r="B8" s="4" t="s">
        <v>17</v>
      </c>
      <c r="C8" s="4" t="s">
        <v>13</v>
      </c>
      <c r="D8" s="5">
        <v>300</v>
      </c>
      <c r="E8" s="5">
        <v>150</v>
      </c>
      <c r="F8" s="6">
        <f>IF(OR(D8="",E8=""),"",D8*E8/1000000)</f>
        <v>0.045</v>
      </c>
      <c r="G8" s="4" t="s">
        <v>18</v>
      </c>
    </row>
    <row r="9" spans="1:7">
      <c r="A9" s="4" t="s">
        <v>11</v>
      </c>
      <c r="B9" s="4" t="s">
        <v>19</v>
      </c>
      <c r="C9" s="4" t="s">
        <v>13</v>
      </c>
      <c r="D9" s="5">
        <v>300</v>
      </c>
      <c r="E9" s="5">
        <v>150</v>
      </c>
      <c r="F9" s="6">
        <f>IF(OR(D9="",E9=""),"",D9*E9/1000000)</f>
        <v>0.045</v>
      </c>
      <c r="G9" s="4" t="s">
        <v>20</v>
      </c>
    </row>
    <row r="10" spans="1:7">
      <c r="A10" s="4" t="s">
        <v>11</v>
      </c>
      <c r="B10" s="4" t="s">
        <v>21</v>
      </c>
      <c r="C10" s="4" t="s">
        <v>22</v>
      </c>
      <c r="D10" s="5">
        <v>200</v>
      </c>
      <c r="E10" s="5">
        <v>450</v>
      </c>
      <c r="F10" s="6">
        <f>IF(OR(D10="",E10=""),"",D10*E10/1000000)</f>
        <v>0.09</v>
      </c>
      <c r="G10" s="4" t="s">
        <v>23</v>
      </c>
    </row>
    <row r="11" spans="1:7">
      <c r="A11" s="4" t="s">
        <v>11</v>
      </c>
      <c r="B11" s="4" t="s">
        <v>24</v>
      </c>
      <c r="C11" s="4" t="s">
        <v>22</v>
      </c>
      <c r="D11" s="5">
        <v>200</v>
      </c>
      <c r="E11" s="5">
        <v>450</v>
      </c>
      <c r="F11" s="6">
        <f>IF(OR(D11="",E11=""),"",D11*E11/1000000)</f>
        <v>0.09</v>
      </c>
      <c r="G11" s="4" t="s">
        <v>25</v>
      </c>
    </row>
    <row r="12" spans="1:7">
      <c r="A12" s="4" t="s">
        <v>11</v>
      </c>
      <c r="B12" s="4" t="s">
        <v>26</v>
      </c>
      <c r="C12" s="4" t="s">
        <v>22</v>
      </c>
      <c r="D12" s="5">
        <v>200</v>
      </c>
      <c r="E12" s="5">
        <v>450</v>
      </c>
      <c r="F12" s="6">
        <f>IF(OR(D12="",E12=""),"",D12*E12/1000000)</f>
        <v>0.09</v>
      </c>
      <c r="G12" s="4" t="s">
        <v>27</v>
      </c>
    </row>
    <row r="13" spans="1:7">
      <c r="A13" s="4" t="s">
        <v>11</v>
      </c>
      <c r="B13" s="4" t="s">
        <v>28</v>
      </c>
      <c r="C13" s="4" t="s">
        <v>22</v>
      </c>
      <c r="D13" s="5">
        <v>200</v>
      </c>
      <c r="E13" s="5">
        <v>450</v>
      </c>
      <c r="F13" s="6">
        <f>IF(OR(D13="",E13=""),"",D13*E13/1000000)</f>
        <v>0.09</v>
      </c>
      <c r="G13" s="4" t="s">
        <v>29</v>
      </c>
    </row>
    <row r="14" spans="1:7">
      <c r="A14" s="4" t="s">
        <v>11</v>
      </c>
      <c r="B14" s="4" t="s">
        <v>30</v>
      </c>
      <c r="C14" s="4" t="s">
        <v>22</v>
      </c>
      <c r="D14" s="5">
        <v>300</v>
      </c>
      <c r="E14" s="5">
        <v>300</v>
      </c>
      <c r="F14" s="6">
        <f>IF(OR(D14="",E14=""),"",D14*E14/1000000)</f>
        <v>0.09</v>
      </c>
      <c r="G14" s="4" t="s">
        <v>31</v>
      </c>
    </row>
    <row r="15" spans="1:7">
      <c r="A15" s="4" t="s">
        <v>11</v>
      </c>
      <c r="B15" s="4" t="s">
        <v>32</v>
      </c>
      <c r="C15" s="4" t="s">
        <v>22</v>
      </c>
      <c r="D15" s="5">
        <v>300</v>
      </c>
      <c r="E15" s="5">
        <v>300</v>
      </c>
      <c r="F15" s="6">
        <f>IF(OR(D15="",E15=""),"",D15*E15/1000000)</f>
        <v>0.09</v>
      </c>
      <c r="G15" s="4" t="s">
        <v>33</v>
      </c>
    </row>
    <row r="16" spans="1:7">
      <c r="A16" s="4" t="s">
        <v>34</v>
      </c>
      <c r="B16" s="4" t="s">
        <v>35</v>
      </c>
      <c r="C16" s="4" t="s">
        <v>36</v>
      </c>
      <c r="D16" s="4"/>
      <c r="E16" s="4"/>
      <c r="F16" s="6">
        <v>0.9</v>
      </c>
      <c r="G16" s="4" t="s">
        <v>37</v>
      </c>
    </row>
    <row r="17" spans="1:7">
      <c r="A17" s="4" t="s">
        <v>34</v>
      </c>
      <c r="B17" s="4" t="s">
        <v>38</v>
      </c>
      <c r="C17" s="4" t="s">
        <v>39</v>
      </c>
      <c r="D17" s="4"/>
      <c r="E17" s="4"/>
      <c r="F17" s="6">
        <v>0.9</v>
      </c>
      <c r="G17" s="4" t="s">
        <v>40</v>
      </c>
    </row>
    <row r="18" spans="1:7">
      <c r="A18" s="4" t="s">
        <v>34</v>
      </c>
      <c r="B18" s="4" t="s">
        <v>41</v>
      </c>
      <c r="C18" s="4" t="s">
        <v>42</v>
      </c>
      <c r="D18" s="4"/>
      <c r="E18" s="4"/>
      <c r="F18" s="6">
        <v>0.9</v>
      </c>
      <c r="G18" s="4" t="s">
        <v>43</v>
      </c>
    </row>
    <row r="19" spans="1:7">
      <c r="A19" s="4" t="s">
        <v>34</v>
      </c>
      <c r="B19" s="4" t="s">
        <v>44</v>
      </c>
      <c r="C19" s="4" t="s">
        <v>45</v>
      </c>
      <c r="D19" s="4"/>
      <c r="E19" s="4"/>
      <c r="F19" s="6">
        <v>0.9</v>
      </c>
      <c r="G19" s="4" t="s">
        <v>46</v>
      </c>
    </row>
    <row r="20" spans="1:7">
      <c r="A20" s="4" t="s">
        <v>34</v>
      </c>
      <c r="B20" s="4" t="s">
        <v>47</v>
      </c>
      <c r="C20" s="4" t="s">
        <v>48</v>
      </c>
      <c r="D20" s="4"/>
      <c r="E20" s="4"/>
      <c r="F20" s="6">
        <v>1</v>
      </c>
      <c r="G20" s="4" t="s">
        <v>49</v>
      </c>
    </row>
    <row r="21" spans="1:7">
      <c r="A21" s="4" t="s">
        <v>50</v>
      </c>
      <c r="B21" s="4" t="s">
        <v>51</v>
      </c>
      <c r="C21" s="4" t="s">
        <v>52</v>
      </c>
      <c r="D21" s="4"/>
      <c r="E21" s="4"/>
      <c r="F21" s="6">
        <v>1</v>
      </c>
      <c r="G21" s="4" t="s">
        <v>53</v>
      </c>
    </row>
    <row r="22" spans="1:7">
      <c r="A22" s="4" t="s">
        <v>50</v>
      </c>
      <c r="B22" s="4" t="s">
        <v>54</v>
      </c>
      <c r="C22" s="4" t="s">
        <v>55</v>
      </c>
      <c r="D22" s="4"/>
      <c r="E22" s="4"/>
      <c r="F22" s="6">
        <v>0.9</v>
      </c>
      <c r="G22" s="4" t="s">
        <v>56</v>
      </c>
    </row>
    <row r="23" spans="1:7">
      <c r="A23" s="4" t="s">
        <v>50</v>
      </c>
      <c r="B23" s="4" t="s">
        <v>57</v>
      </c>
      <c r="C23" s="4" t="s">
        <v>58</v>
      </c>
      <c r="D23" s="4"/>
      <c r="E23" s="4"/>
      <c r="F23" s="6">
        <v>0.9</v>
      </c>
      <c r="G23" s="4" t="s">
        <v>59</v>
      </c>
    </row>
    <row r="24" spans="1:7">
      <c r="A24" s="4" t="s">
        <v>50</v>
      </c>
      <c r="B24" s="4" t="s">
        <v>60</v>
      </c>
      <c r="C24" s="4" t="s">
        <v>61</v>
      </c>
      <c r="D24" s="4"/>
      <c r="E24" s="4"/>
      <c r="F24" s="6">
        <v>0.9</v>
      </c>
      <c r="G24" s="4" t="s">
        <v>62</v>
      </c>
    </row>
    <row r="25" spans="1:7">
      <c r="A25" s="4" t="s">
        <v>50</v>
      </c>
      <c r="B25" s="4" t="s">
        <v>63</v>
      </c>
      <c r="C25" s="4" t="s">
        <v>64</v>
      </c>
      <c r="D25" s="4"/>
      <c r="E25" s="4"/>
      <c r="F25" s="6">
        <v>0.9</v>
      </c>
      <c r="G25" s="4" t="s">
        <v>65</v>
      </c>
    </row>
    <row r="26" spans="1:7">
      <c r="A26" s="4" t="s">
        <v>50</v>
      </c>
      <c r="B26" s="4" t="s">
        <v>66</v>
      </c>
      <c r="C26" s="4" t="s">
        <v>67</v>
      </c>
      <c r="D26" s="4"/>
      <c r="E26" s="4"/>
      <c r="F26" s="6">
        <v>0.9</v>
      </c>
      <c r="G26" s="4" t="s">
        <v>68</v>
      </c>
    </row>
    <row r="27" spans="1:7">
      <c r="A27" s="4" t="s">
        <v>50</v>
      </c>
      <c r="B27" s="4" t="s">
        <v>69</v>
      </c>
      <c r="C27" s="4" t="s">
        <v>70</v>
      </c>
      <c r="D27" s="4"/>
      <c r="E27" s="4"/>
      <c r="F27" s="6">
        <v>1</v>
      </c>
      <c r="G27" s="4" t="s">
        <v>71</v>
      </c>
    </row>
  </sheetData>
  <mergeCells count="1">
    <mergeCell ref="A3:G3"/>
  </mergeCells>
  <dataValidations count="40">
    <dataValidation type="list" allowBlank="1" showInputMessage="1" showErrorMessage="1" sqref="C6">
      <formula1>RateList!$A$1:$A$14</formula1>
    </dataValidation>
    <dataValidation type="list" allowBlank="1" showInputMessage="1" showErrorMessage="1" sqref="C7">
      <formula1>RateList!$A$1:$A$14</formula1>
    </dataValidation>
    <dataValidation type="list" allowBlank="1" showInputMessage="1" showErrorMessage="1" sqref="C8">
      <formula1>RateList!$A$1:$A$14</formula1>
    </dataValidation>
    <dataValidation type="list" allowBlank="1" showInputMessage="1" showErrorMessage="1" sqref="C9">
      <formula1>RateList!$A$1:$A$14</formula1>
    </dataValidation>
    <dataValidation type="list" allowBlank="1" showInputMessage="1" showErrorMessage="1" sqref="C10">
      <formula1>RateList!$A$1:$A$14</formula1>
    </dataValidation>
    <dataValidation type="list" allowBlank="1" showInputMessage="1" showErrorMessage="1" sqref="C11">
      <formula1>RateList!$A$1:$A$14</formula1>
    </dataValidation>
    <dataValidation type="list" allowBlank="1" showInputMessage="1" showErrorMessage="1" sqref="C12">
      <formula1>RateList!$A$1:$A$14</formula1>
    </dataValidation>
    <dataValidation type="list" allowBlank="1" showInputMessage="1" showErrorMessage="1" sqref="C13">
      <formula1>RateList!$A$1:$A$14</formula1>
    </dataValidation>
    <dataValidation type="list" allowBlank="1" showInputMessage="1" showErrorMessage="1" sqref="C14">
      <formula1>RateList!$A$1:$A$14</formula1>
    </dataValidation>
    <dataValidation type="list" allowBlank="1" showInputMessage="1" showErrorMessage="1" sqref="C15">
      <formula1>RateList!$A$1:$A$14</formula1>
    </dataValidation>
    <dataValidation type="list" allowBlank="1" showInputMessage="1" showErrorMessage="1" sqref="C16">
      <formula1>RateList!$A$1:$A$14</formula1>
    </dataValidation>
    <dataValidation type="list" allowBlank="1" showInputMessage="1" showErrorMessage="1" sqref="C17">
      <formula1>RateList!$A$1:$A$14</formula1>
    </dataValidation>
    <dataValidation type="list" allowBlank="1" showInputMessage="1" showErrorMessage="1" sqref="C18">
      <formula1>RateList!$A$1:$A$14</formula1>
    </dataValidation>
    <dataValidation type="list" allowBlank="1" showInputMessage="1" showErrorMessage="1" sqref="C19">
      <formula1>RateList!$A$1:$A$14</formula1>
    </dataValidation>
    <dataValidation type="list" allowBlank="1" showInputMessage="1" showErrorMessage="1" sqref="C20">
      <formula1>RateList!$A$1:$A$14</formula1>
    </dataValidation>
    <dataValidation type="list" allowBlank="1" showInputMessage="1" showErrorMessage="1" sqref="C21">
      <formula1>RateList!$A$1:$A$14</formula1>
    </dataValidation>
    <dataValidation type="list" allowBlank="1" showInputMessage="1" showErrorMessage="1" sqref="C22">
      <formula1>RateList!$A$1:$A$14</formula1>
    </dataValidation>
    <dataValidation type="list" allowBlank="1" showInputMessage="1" showErrorMessage="1" sqref="C23">
      <formula1>RateList!$A$1:$A$14</formula1>
    </dataValidation>
    <dataValidation type="list" allowBlank="1" showInputMessage="1" showErrorMessage="1" sqref="C24">
      <formula1>RateList!$A$1:$A$14</formula1>
    </dataValidation>
    <dataValidation type="list" allowBlank="1" showInputMessage="1" showErrorMessage="1" sqref="C25">
      <formula1>RateList!$A$1:$A$14</formula1>
    </dataValidation>
    <dataValidation type="list" allowBlank="1" showInputMessage="1" showErrorMessage="1" sqref="C26">
      <formula1>RateList!$A$1:$A$14</formula1>
    </dataValidation>
    <dataValidation type="list" allowBlank="1" showInputMessage="1" showErrorMessage="1" sqref="C27">
      <formula1>RateList!$A$1:$A$14</formula1>
    </dataValidation>
    <dataValidation type="list" allowBlank="1" showInputMessage="1" showErrorMessage="1" sqref="C28">
      <formula1>RateList!$A$1:$A$14</formula1>
    </dataValidation>
    <dataValidation type="list" allowBlank="1" showInputMessage="1" showErrorMessage="1" sqref="C29">
      <formula1>RateList!$A$1:$A$14</formula1>
    </dataValidation>
    <dataValidation type="list" allowBlank="1" showInputMessage="1" showErrorMessage="1" sqref="C30">
      <formula1>RateList!$A$1:$A$14</formula1>
    </dataValidation>
    <dataValidation type="list" allowBlank="1" showInputMessage="1" showErrorMessage="1" sqref="C31">
      <formula1>RateList!$A$1:$A$14</formula1>
    </dataValidation>
    <dataValidation type="list" allowBlank="1" showInputMessage="1" showErrorMessage="1" sqref="C32">
      <formula1>RateList!$A$1:$A$14</formula1>
    </dataValidation>
    <dataValidation type="list" allowBlank="1" showInputMessage="1" showErrorMessage="1" sqref="C33">
      <formula1>RateList!$A$1:$A$14</formula1>
    </dataValidation>
    <dataValidation type="list" allowBlank="1" showInputMessage="1" showErrorMessage="1" sqref="C34">
      <formula1>RateList!$A$1:$A$14</formula1>
    </dataValidation>
    <dataValidation type="list" allowBlank="1" showInputMessage="1" showErrorMessage="1" sqref="C35">
      <formula1>RateList!$A$1:$A$14</formula1>
    </dataValidation>
    <dataValidation type="list" allowBlank="1" showInputMessage="1" showErrorMessage="1" sqref="C36">
      <formula1>RateList!$A$1:$A$14</formula1>
    </dataValidation>
    <dataValidation type="list" allowBlank="1" showInputMessage="1" showErrorMessage="1" sqref="C37">
      <formula1>RateList!$A$1:$A$14</formula1>
    </dataValidation>
    <dataValidation type="list" allowBlank="1" showInputMessage="1" showErrorMessage="1" sqref="C38">
      <formula1>RateList!$A$1:$A$14</formula1>
    </dataValidation>
    <dataValidation type="list" allowBlank="1" showInputMessage="1" showErrorMessage="1" sqref="C39">
      <formula1>RateList!$A$1:$A$14</formula1>
    </dataValidation>
    <dataValidation type="list" allowBlank="1" showInputMessage="1" showErrorMessage="1" sqref="C40">
      <formula1>RateList!$A$1:$A$14</formula1>
    </dataValidation>
    <dataValidation type="list" allowBlank="1" showInputMessage="1" showErrorMessage="1" sqref="C41">
      <formula1>RateList!$A$1:$A$14</formula1>
    </dataValidation>
    <dataValidation type="list" allowBlank="1" showInputMessage="1" showErrorMessage="1" sqref="C42">
      <formula1>RateList!$A$1:$A$14</formula1>
    </dataValidation>
    <dataValidation type="list" allowBlank="1" showInputMessage="1" showErrorMessage="1" sqref="C43">
      <formula1>RateList!$A$1:$A$14</formula1>
    </dataValidation>
    <dataValidation type="list" allowBlank="1" showInputMessage="1" showErrorMessage="1" sqref="C44">
      <formula1>RateList!$A$1:$A$14</formula1>
    </dataValidation>
    <dataValidation type="list" allowBlank="1" showInputMessage="1" showErrorMessage="1" sqref="C45">
      <formula1>RateList!$A$1:$A$14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t="s">
        <v>13</v>
      </c>
    </row>
    <row r="2" spans="1:1">
      <c r="A2" t="s">
        <v>22</v>
      </c>
    </row>
    <row r="3" spans="1:1">
      <c r="A3" t="s">
        <v>36</v>
      </c>
    </row>
    <row r="4" spans="1:1">
      <c r="A4" t="s">
        <v>39</v>
      </c>
    </row>
    <row r="5" spans="1:1">
      <c r="A5" t="s">
        <v>42</v>
      </c>
    </row>
    <row r="6" spans="1:1">
      <c r="A6" t="s">
        <v>45</v>
      </c>
    </row>
    <row r="7" spans="1:1">
      <c r="A7" t="s">
        <v>48</v>
      </c>
    </row>
    <row r="8" spans="1:1">
      <c r="A8" t="s">
        <v>52</v>
      </c>
    </row>
    <row r="9" spans="1:1">
      <c r="A9" t="s">
        <v>55</v>
      </c>
    </row>
    <row r="10" spans="1:1">
      <c r="A10" t="s">
        <v>58</v>
      </c>
    </row>
    <row r="11" spans="1:1">
      <c r="A11" t="s">
        <v>61</v>
      </c>
    </row>
    <row r="12" spans="1:1">
      <c r="A12" t="s">
        <v>64</v>
      </c>
    </row>
    <row r="13" spans="1:1">
      <c r="A13" t="s">
        <v>67</v>
      </c>
    </row>
    <row r="14" spans="1:1">
      <c r="A1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6"/>
  <sheetViews>
    <sheetView workbookViewId="0"/>
  </sheetViews>
  <sheetFormatPr defaultRowHeight="15"/>
  <cols>
    <col min="1" max="1" width="160.7109375" customWidth="1"/>
  </cols>
  <sheetData>
    <row r="1" spans="1:1">
      <c r="A1" s="1" t="s">
        <v>72</v>
      </c>
    </row>
    <row r="3" spans="1:1">
      <c r="A3" t="s">
        <v>73</v>
      </c>
    </row>
    <row r="4" spans="1:1">
      <c r="A4" t="s">
        <v>74</v>
      </c>
    </row>
    <row r="6" spans="1:1">
      <c r="A6" t="s">
        <v>75</v>
      </c>
    </row>
    <row r="8" spans="1:1">
      <c r="A8" t="s">
        <v>76</v>
      </c>
    </row>
    <row r="10" spans="1:1">
      <c r="A10" t="s">
        <v>77</v>
      </c>
    </row>
    <row r="11" spans="1:1">
      <c r="A11" t="s">
        <v>78</v>
      </c>
    </row>
    <row r="12" spans="1:1">
      <c r="A12" t="s">
        <v>79</v>
      </c>
    </row>
    <row r="13" spans="1:1">
      <c r="A13" t="s">
        <v>80</v>
      </c>
    </row>
    <row r="14" spans="1:1">
      <c r="A14" t="s">
        <v>81</v>
      </c>
    </row>
    <row r="16" spans="1:1">
      <c r="A16" s="1" t="s">
        <v>82</v>
      </c>
    </row>
    <row r="17" spans="1:1">
      <c r="A17" t="s">
        <v>83</v>
      </c>
    </row>
    <row r="18" spans="1:1">
      <c r="A18" t="s">
        <v>84</v>
      </c>
    </row>
    <row r="19" spans="1:1">
      <c r="A19" t="s">
        <v>85</v>
      </c>
    </row>
    <row r="20" spans="1:1">
      <c r="A20" s="1" t="s">
        <v>86</v>
      </c>
    </row>
    <row r="22" spans="1:1">
      <c r="A22" s="1" t="s">
        <v>87</v>
      </c>
    </row>
    <row r="23" spans="1:1">
      <c r="A23" t="s">
        <v>88</v>
      </c>
    </row>
    <row r="24" spans="1:1">
      <c r="A24" t="s">
        <v>89</v>
      </c>
    </row>
    <row r="25" spans="1:1">
      <c r="A25" t="s">
        <v>90</v>
      </c>
    </row>
    <row r="26" spans="1:1">
      <c r="A26" t="s">
        <v>91</v>
      </c>
    </row>
    <row r="27" spans="1:1">
      <c r="A27" t="s">
        <v>92</v>
      </c>
    </row>
    <row r="28" spans="1:1">
      <c r="A28" t="s">
        <v>93</v>
      </c>
    </row>
    <row r="29" spans="1:1">
      <c r="A29" t="s">
        <v>94</v>
      </c>
    </row>
    <row r="30" spans="1:1">
      <c r="A30" t="s">
        <v>95</v>
      </c>
    </row>
    <row r="31" spans="1:1">
      <c r="A31" t="s">
        <v>96</v>
      </c>
    </row>
    <row r="32" spans="1:1">
      <c r="A32" t="s">
        <v>97</v>
      </c>
    </row>
    <row r="33" spans="1:1">
      <c r="A33" t="s">
        <v>98</v>
      </c>
    </row>
    <row r="34" spans="1:1">
      <c r="A34" t="s">
        <v>99</v>
      </c>
    </row>
    <row r="35" spans="1:1">
      <c r="A35" t="s">
        <v>100</v>
      </c>
    </row>
    <row r="36" spans="1:1">
      <c r="A3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Cut List</vt:lpstr>
      <vt:lpstr>RateList</vt:lpstr>
      <vt:lpstr>คำอธิบาย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2026-10-11T13:53:04Z</dcterms:created>
  <dcterms:modified xsi:type="dcterms:W3CDTF">2026-10-11T13:53:04Z</dcterms:modified>
</cp:coreProperties>
</file>